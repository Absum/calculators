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c0201f1d08dd68/Absum Technologies/Blog/Files/"/>
    </mc:Choice>
  </mc:AlternateContent>
  <xr:revisionPtr revIDLastSave="0" documentId="8_{A3E2A34C-1E9B-7443-AB3F-9D7AA3A049A2}" xr6:coauthVersionLast="47" xr6:coauthVersionMax="47" xr10:uidLastSave="{00000000-0000-0000-0000-000000000000}"/>
  <bookViews>
    <workbookView xWindow="2680" yWindow="1040" windowWidth="28040" windowHeight="17440" xr2:uid="{9A6382F3-9EAE-F344-9416-F1A6CA021EB8}"/>
  </bookViews>
  <sheets>
    <sheet name="Speed calcula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G6" i="1" l="1"/>
  <c r="G7" i="1" s="1"/>
  <c r="G8" i="1" l="1"/>
</calcChain>
</file>

<file path=xl/sharedStrings.xml><?xml version="1.0" encoding="utf-8"?>
<sst xmlns="http://schemas.openxmlformats.org/spreadsheetml/2006/main" count="14" uniqueCount="13">
  <si>
    <t>Gear ratio</t>
  </si>
  <si>
    <t>Circumference</t>
  </si>
  <si>
    <t>Motor rpm</t>
  </si>
  <si>
    <t>meters per minute</t>
  </si>
  <si>
    <t>meters per second (m/s)</t>
  </si>
  <si>
    <t>kilometers per hour (km/h)</t>
  </si>
  <si>
    <t>mm</t>
  </si>
  <si>
    <t>Wheel diameter</t>
  </si>
  <si>
    <t>Enter values</t>
  </si>
  <si>
    <t>Results</t>
  </si>
  <si>
    <t>Rpm after gear</t>
  </si>
  <si>
    <t>Speed calculator</t>
  </si>
  <si>
    <t>min value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</si>
</sst>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EF5EA"/>
      <name val="Calibri"/>
      <family val="2"/>
      <scheme val="minor"/>
    </font>
    <font>
      <sz val="16"/>
      <color rgb="FFFEF5EA"/>
      <name val="Helvetica Neue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F5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89BB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2" borderId="0" xfId="0" applyFill="1" applyBorder="1"/>
    <xf numFmtId="0" fontId="0" fillId="2" borderId="0" xfId="0" applyFont="1" applyFill="1"/>
    <xf numFmtId="0" fontId="0" fillId="3" borderId="1" xfId="0" applyFill="1" applyBorder="1"/>
    <xf numFmtId="0" fontId="0" fillId="4" borderId="2" xfId="0" applyFont="1" applyFill="1" applyBorder="1"/>
    <xf numFmtId="0" fontId="0" fillId="4" borderId="3" xfId="0" applyFont="1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0" xfId="0" applyFill="1" applyBorder="1"/>
    <xf numFmtId="0" fontId="0" fillId="4" borderId="6" xfId="0" applyFill="1" applyBorder="1"/>
    <xf numFmtId="0" fontId="2" fillId="4" borderId="6" xfId="0" applyFont="1" applyFill="1" applyBorder="1"/>
    <xf numFmtId="0" fontId="0" fillId="4" borderId="7" xfId="0" applyFont="1" applyFill="1" applyBorder="1"/>
    <xf numFmtId="0" fontId="0" fillId="4" borderId="8" xfId="0" applyFont="1" applyFill="1" applyBorder="1"/>
    <xf numFmtId="0" fontId="0" fillId="4" borderId="8" xfId="0" applyFill="1" applyBorder="1"/>
    <xf numFmtId="0" fontId="0" fillId="4" borderId="9" xfId="0" applyFill="1" applyBorder="1"/>
    <xf numFmtId="0" fontId="0" fillId="4" borderId="0" xfId="0" applyFont="1" applyFill="1" applyBorder="1"/>
    <xf numFmtId="0" fontId="0" fillId="4" borderId="5" xfId="0" applyFont="1" applyFill="1" applyBorder="1"/>
    <xf numFmtId="0" fontId="1" fillId="4" borderId="0" xfId="0" applyFont="1" applyFill="1" applyBorder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89BB8"/>
      <color rgb="FFFEF5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152400</xdr:rowOff>
    </xdr:from>
    <xdr:to>
      <xdr:col>2</xdr:col>
      <xdr:colOff>165876</xdr:colOff>
      <xdr:row>1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F30CC8-86BB-9A4C-AB1B-285260BE9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152400"/>
          <a:ext cx="1588276" cy="1612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1EC09-5C17-C74E-9464-0517CEB15E41}">
  <dimension ref="B1:K13"/>
  <sheetViews>
    <sheetView tabSelected="1" workbookViewId="0">
      <selection activeCell="G16" sqref="G16"/>
    </sheetView>
  </sheetViews>
  <sheetFormatPr baseColWidth="10" defaultRowHeight="16" x14ac:dyDescent="0.2"/>
  <cols>
    <col min="1" max="1" width="4.5" style="1" customWidth="1"/>
    <col min="2" max="2" width="14.83203125" style="1" customWidth="1"/>
    <col min="3" max="4" width="10.83203125" style="1"/>
    <col min="5" max="5" width="4.1640625" style="1" customWidth="1"/>
    <col min="6" max="6" width="2.83203125" style="1" customWidth="1"/>
    <col min="7" max="7" width="8.5" style="1" customWidth="1"/>
    <col min="8" max="9" width="10.83203125" style="1"/>
    <col min="10" max="10" width="4" style="1" customWidth="1"/>
    <col min="11" max="16384" width="10.83203125" style="1"/>
  </cols>
  <sheetData>
    <row r="1" spans="2:11" ht="131" customHeight="1" x14ac:dyDescent="0.2">
      <c r="E1" s="5"/>
      <c r="F1" s="5"/>
      <c r="G1" s="5"/>
      <c r="H1" s="5"/>
    </row>
    <row r="2" spans="2:11" ht="24" customHeight="1" x14ac:dyDescent="0.25">
      <c r="B2" s="22" t="s">
        <v>11</v>
      </c>
      <c r="E2" s="5"/>
      <c r="F2" s="5"/>
      <c r="G2" s="5"/>
      <c r="H2" s="5"/>
    </row>
    <row r="3" spans="2:11" ht="14" customHeight="1" x14ac:dyDescent="0.2">
      <c r="E3" s="5"/>
      <c r="F3" s="5"/>
    </row>
    <row r="4" spans="2:11" x14ac:dyDescent="0.2">
      <c r="B4" s="2" t="s">
        <v>8</v>
      </c>
      <c r="E4" s="5"/>
      <c r="F4" s="7"/>
      <c r="G4" s="8"/>
      <c r="H4" s="8"/>
      <c r="I4" s="9"/>
      <c r="J4" s="10"/>
    </row>
    <row r="5" spans="2:11" x14ac:dyDescent="0.2">
      <c r="B5" s="5" t="s">
        <v>2</v>
      </c>
      <c r="C5" s="6">
        <v>5000</v>
      </c>
      <c r="E5" s="5"/>
      <c r="F5" s="11"/>
      <c r="G5" s="21" t="s">
        <v>9</v>
      </c>
      <c r="H5" s="19"/>
      <c r="I5" s="12"/>
      <c r="J5" s="13"/>
    </row>
    <row r="6" spans="2:11" ht="20" x14ac:dyDescent="0.2">
      <c r="B6" s="5" t="s">
        <v>0</v>
      </c>
      <c r="C6" s="6">
        <v>64</v>
      </c>
      <c r="D6" s="1" t="s">
        <v>12</v>
      </c>
      <c r="E6" s="5"/>
      <c r="F6" s="20"/>
      <c r="G6" s="12">
        <f>ROUND((C11*C10)/1000,2)</f>
        <v>53.97</v>
      </c>
      <c r="H6" s="12" t="s">
        <v>3</v>
      </c>
      <c r="I6" s="12"/>
      <c r="J6" s="13"/>
      <c r="K6" s="3">
        <v>3.14</v>
      </c>
    </row>
    <row r="7" spans="2:11" x14ac:dyDescent="0.2">
      <c r="B7" s="5" t="s">
        <v>7</v>
      </c>
      <c r="C7" s="6">
        <v>220</v>
      </c>
      <c r="D7" s="1" t="s">
        <v>6</v>
      </c>
      <c r="E7" s="5"/>
      <c r="F7" s="20"/>
      <c r="G7" s="12">
        <f>ROUND(G6/60,2)</f>
        <v>0.9</v>
      </c>
      <c r="H7" s="12" t="s">
        <v>4</v>
      </c>
      <c r="I7" s="12"/>
      <c r="J7" s="13"/>
    </row>
    <row r="8" spans="2:11" x14ac:dyDescent="0.2">
      <c r="B8" s="2"/>
      <c r="C8" s="4"/>
      <c r="E8" s="5"/>
      <c r="F8" s="20"/>
      <c r="G8" s="12">
        <f>ROUND(G6*60/1000,2)</f>
        <v>3.24</v>
      </c>
      <c r="H8" s="12" t="s">
        <v>5</v>
      </c>
      <c r="I8" s="12"/>
      <c r="J8" s="14"/>
    </row>
    <row r="9" spans="2:11" x14ac:dyDescent="0.2">
      <c r="E9" s="5"/>
      <c r="F9" s="15"/>
      <c r="G9" s="16"/>
      <c r="H9" s="16"/>
      <c r="I9" s="17"/>
      <c r="J9" s="18"/>
    </row>
    <row r="10" spans="2:11" x14ac:dyDescent="0.2">
      <c r="B10" s="2" t="s">
        <v>10</v>
      </c>
      <c r="C10" s="2">
        <f>C5/C6</f>
        <v>78.125</v>
      </c>
      <c r="D10" s="2"/>
      <c r="G10" s="5"/>
      <c r="H10" s="5"/>
    </row>
    <row r="11" spans="2:11" x14ac:dyDescent="0.2">
      <c r="B11" s="2" t="s">
        <v>1</v>
      </c>
      <c r="C11" s="2">
        <f>K6*C7</f>
        <v>690.80000000000007</v>
      </c>
      <c r="D11" s="2" t="s">
        <v>6</v>
      </c>
    </row>
    <row r="12" spans="2:11" x14ac:dyDescent="0.2">
      <c r="B12" s="2"/>
      <c r="C12" s="2"/>
      <c r="D12" s="2"/>
    </row>
    <row r="13" spans="2:11" x14ac:dyDescent="0.2">
      <c r="B13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Speed calculator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Tomi Kaihlaniemi</cp:lastModifiedBy>
  <dcterms:created xsi:type="dcterms:W3CDTF">2021-11-01T12:56:11Z</dcterms:created>
  <dcterms:modified xsi:type="dcterms:W3CDTF">2021-11-02T12:42:40Z</dcterms:modified>
</cp:coreProperties>
</file>